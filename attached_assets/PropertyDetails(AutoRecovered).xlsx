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dana\Desktop\"/>
    </mc:Choice>
  </mc:AlternateContent>
  <xr:revisionPtr revIDLastSave="0" documentId="8_{46F976E4-473B-4DBB-802E-686CFDB31AD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property_charges" sheetId="3" r:id="rId2"/>
    <sheet name="Sheet2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</calcChain>
</file>

<file path=xl/sharedStrings.xml><?xml version="1.0" encoding="utf-8"?>
<sst xmlns="http://schemas.openxmlformats.org/spreadsheetml/2006/main" count="216" uniqueCount="85">
  <si>
    <t>Apartment Number</t>
  </si>
  <si>
    <t>Nestaway-ID</t>
  </si>
  <si>
    <t>Lease Status</t>
  </si>
  <si>
    <t>Apartment Floor</t>
  </si>
  <si>
    <t>Apartment Type</t>
  </si>
  <si>
    <t>Rent Income Beneficiary</t>
  </si>
  <si>
    <t>Maintenance Cost</t>
  </si>
  <si>
    <t>Water Cost</t>
  </si>
  <si>
    <t>Rent Receivable</t>
  </si>
  <si>
    <t>N35410</t>
  </si>
  <si>
    <t>Leasable</t>
  </si>
  <si>
    <t>2BHK</t>
  </si>
  <si>
    <t>Mohammed Ashraf</t>
  </si>
  <si>
    <t>N35260</t>
  </si>
  <si>
    <t>Mohammed Abdurrahman</t>
  </si>
  <si>
    <t>NA</t>
  </si>
  <si>
    <t>Non-Leasable</t>
  </si>
  <si>
    <t>3BHK</t>
  </si>
  <si>
    <t>N/A</t>
  </si>
  <si>
    <t>N35259</t>
  </si>
  <si>
    <t>N35408</t>
  </si>
  <si>
    <t>N35404</t>
  </si>
  <si>
    <t>1BHK</t>
  </si>
  <si>
    <t>Mohammed Afzal</t>
  </si>
  <si>
    <t>N35405</t>
  </si>
  <si>
    <t>N35261</t>
  </si>
  <si>
    <t>N35409</t>
  </si>
  <si>
    <t>N35400</t>
  </si>
  <si>
    <t>Ruksana Parveen</t>
  </si>
  <si>
    <t>N35403</t>
  </si>
  <si>
    <t>N35262</t>
  </si>
  <si>
    <t>N35407</t>
  </si>
  <si>
    <t>Mohammed Anas</t>
  </si>
  <si>
    <t>N35445</t>
  </si>
  <si>
    <t>N35401</t>
  </si>
  <si>
    <t>N35469</t>
  </si>
  <si>
    <t>N35411</t>
  </si>
  <si>
    <t>N35402</t>
  </si>
  <si>
    <t>N35468</t>
  </si>
  <si>
    <t>4BHK</t>
  </si>
  <si>
    <t>Expense Type</t>
  </si>
  <si>
    <t>Utility</t>
  </si>
  <si>
    <t>Expense</t>
  </si>
  <si>
    <t>Electrical Bill</t>
  </si>
  <si>
    <t>Sweet Water Bill</t>
  </si>
  <si>
    <t>WifI Bill</t>
  </si>
  <si>
    <t>Trash Collection</t>
  </si>
  <si>
    <t>Generator Diesel</t>
  </si>
  <si>
    <t>General Building Maintenance</t>
  </si>
  <si>
    <t>Cleaning works</t>
  </si>
  <si>
    <t>Other</t>
  </si>
  <si>
    <t>Operational</t>
  </si>
  <si>
    <t>Watchman Salary</t>
  </si>
  <si>
    <t>Manager Salary</t>
  </si>
  <si>
    <t>Charity</t>
  </si>
  <si>
    <t>General Maintenance Works</t>
  </si>
  <si>
    <t>Elevator Maintenance</t>
  </si>
  <si>
    <t>CCTV Maintenance</t>
  </si>
  <si>
    <t>Electrical works</t>
  </si>
  <si>
    <t>Plumbing works</t>
  </si>
  <si>
    <t>Carpenter works</t>
  </si>
  <si>
    <t>Painting works</t>
  </si>
  <si>
    <t>Gardening works</t>
  </si>
  <si>
    <t>Government</t>
  </si>
  <si>
    <t>Income Tax</t>
  </si>
  <si>
    <t>Major Electrical Facility</t>
  </si>
  <si>
    <t>Capital Expense for Facilities</t>
  </si>
  <si>
    <t>Infrastructure</t>
  </si>
  <si>
    <t>Bore Work</t>
  </si>
  <si>
    <t>Mosque Donation</t>
  </si>
  <si>
    <t>Madarsa Donation</t>
  </si>
  <si>
    <t>Other misc Donation</t>
  </si>
  <si>
    <t>Guest Related</t>
  </si>
  <si>
    <t>Guest Hospitality Exp / Meal</t>
  </si>
  <si>
    <t>Water Tanker</t>
  </si>
  <si>
    <t>flat_number</t>
  </si>
  <si>
    <t>charge_type</t>
  </si>
  <si>
    <t>amount</t>
  </si>
  <si>
    <t>effective_from</t>
  </si>
  <si>
    <t>effective_to</t>
  </si>
  <si>
    <t>rent</t>
  </si>
  <si>
    <t>maint_fee</t>
  </si>
  <si>
    <t>water_fee</t>
  </si>
  <si>
    <t>id</t>
  </si>
  <si>
    <t>nestaway_id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</si>
</sst>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NR]\ * #,##0.00_);_([$INR]\ * \(#,##0.00\);_([$INR]\ 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64" fontId="0" fillId="3" borderId="2" xfId="0" applyNumberFormat="1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2" fillId="0" borderId="0" xfId="0" applyFont="1"/>
    <xf numFmtId="14" fontId="0" fillId="0" borderId="0" xfId="0" applyNumberFormat="1"/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3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1547C-E440-4C3C-8432-0E2F0C282EE6}" name="Table1" displayName="Table1" ref="A1:G61" totalsRowShown="0">
  <autoFilter ref="A1:G61" xr:uid="{34D1547C-E440-4C3C-8432-0E2F0C282EE6}"/>
  <tableColumns count="7">
    <tableColumn id="6" xr3:uid="{34DFD65B-2874-4597-815C-16B029EA9B35}" name="id" dataDxfId="1"/>
    <tableColumn id="1" xr3:uid="{CCDB4929-0570-4B74-8E87-C25081307438}" name="flat_number" dataDxfId="2"/>
    <tableColumn id="8" xr3:uid="{1015AEB0-6070-41D5-85BE-CD078E2652CD}" name="nestaway_id" dataDxfId="0">
      <calculatedColumnFormula>VLOOKUP(Table1[[#This Row],[flat_number]],Sheet1!$A$1:$B$21,2,FALSE)</calculatedColumnFormula>
    </tableColumn>
    <tableColumn id="2" xr3:uid="{7F14AA0E-0FD3-412D-9255-E9C2050875A4}" name="charge_type"/>
    <tableColumn id="3" xr3:uid="{B587CBA9-6ADE-403A-A030-81E095FC94DD}" name="amount"/>
    <tableColumn id="4" xr3:uid="{3DA4B7AC-913E-486D-891F-964FA01029E5}" name="effective_from"/>
    <tableColumn id="5" xr3:uid="{5D7B5A3E-7745-4D42-A7A2-D13BA24AF258}" name="effective_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11" workbookViewId="0">
      <selection activeCell="A2" sqref="A2:A21"/>
    </sheetView>
  </sheetViews>
  <sheetFormatPr defaultRowHeight="15" x14ac:dyDescent="0.25"/>
  <cols>
    <col min="1" max="1" width="18.5703125" bestFit="1" customWidth="1"/>
    <col min="2" max="2" width="12.28515625" bestFit="1" customWidth="1"/>
    <col min="3" max="3" width="13.28515625" bestFit="1" customWidth="1"/>
    <col min="4" max="4" width="15.7109375" bestFit="1" customWidth="1"/>
    <col min="5" max="5" width="15.42578125" bestFit="1" customWidth="1"/>
    <col min="6" max="6" width="24.7109375" bestFit="1" customWidth="1"/>
    <col min="7" max="7" width="17.28515625" bestFit="1" customWidth="1"/>
    <col min="8" max="8" width="11.5703125" bestFit="1" customWidth="1"/>
    <col min="9" max="9" width="15.425781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101</v>
      </c>
      <c r="B2" s="4" t="s">
        <v>9</v>
      </c>
      <c r="C2" s="4" t="s">
        <v>10</v>
      </c>
      <c r="D2" s="5">
        <v>1</v>
      </c>
      <c r="E2" s="5" t="s">
        <v>11</v>
      </c>
      <c r="F2" s="4" t="s">
        <v>12</v>
      </c>
      <c r="G2" s="6">
        <v>1500</v>
      </c>
      <c r="H2" s="6">
        <v>800</v>
      </c>
      <c r="I2" s="6">
        <v>21000</v>
      </c>
    </row>
    <row r="3" spans="1:9" x14ac:dyDescent="0.25">
      <c r="A3" s="7">
        <v>102</v>
      </c>
      <c r="B3" s="8" t="s">
        <v>13</v>
      </c>
      <c r="C3" s="8" t="s">
        <v>10</v>
      </c>
      <c r="D3" s="9">
        <v>1</v>
      </c>
      <c r="E3" s="9" t="s">
        <v>11</v>
      </c>
      <c r="F3" s="8" t="s">
        <v>14</v>
      </c>
      <c r="G3" s="10">
        <v>1500</v>
      </c>
      <c r="H3" s="10">
        <v>800</v>
      </c>
      <c r="I3" s="10">
        <v>21000</v>
      </c>
    </row>
    <row r="4" spans="1:9" x14ac:dyDescent="0.25">
      <c r="A4" s="3">
        <v>103</v>
      </c>
      <c r="B4" s="4" t="s">
        <v>15</v>
      </c>
      <c r="C4" s="4" t="s">
        <v>16</v>
      </c>
      <c r="D4" s="5">
        <v>1</v>
      </c>
      <c r="E4" s="5" t="s">
        <v>17</v>
      </c>
      <c r="F4" s="4" t="s">
        <v>18</v>
      </c>
      <c r="G4" s="6"/>
      <c r="H4" s="6"/>
      <c r="I4" s="6"/>
    </row>
    <row r="5" spans="1:9" x14ac:dyDescent="0.25">
      <c r="A5" s="7">
        <v>201</v>
      </c>
      <c r="B5" s="8" t="s">
        <v>19</v>
      </c>
      <c r="C5" s="8" t="s">
        <v>10</v>
      </c>
      <c r="D5" s="9">
        <v>2</v>
      </c>
      <c r="E5" s="9" t="s">
        <v>11</v>
      </c>
      <c r="F5" s="8" t="s">
        <v>14</v>
      </c>
      <c r="G5" s="10">
        <v>1500</v>
      </c>
      <c r="H5" s="10">
        <v>800</v>
      </c>
      <c r="I5" s="10">
        <v>21000</v>
      </c>
    </row>
    <row r="6" spans="1:9" x14ac:dyDescent="0.25">
      <c r="A6" s="3">
        <v>202</v>
      </c>
      <c r="B6" s="4" t="s">
        <v>20</v>
      </c>
      <c r="C6" s="4" t="s">
        <v>10</v>
      </c>
      <c r="D6" s="5">
        <v>2</v>
      </c>
      <c r="E6" s="5" t="s">
        <v>11</v>
      </c>
      <c r="F6" s="4" t="s">
        <v>12</v>
      </c>
      <c r="G6" s="6">
        <v>1500</v>
      </c>
      <c r="H6" s="6">
        <v>800</v>
      </c>
      <c r="I6" s="6">
        <v>21000</v>
      </c>
    </row>
    <row r="7" spans="1:9" x14ac:dyDescent="0.25">
      <c r="A7" s="7">
        <v>203</v>
      </c>
      <c r="B7" s="8" t="s">
        <v>21</v>
      </c>
      <c r="C7" s="8" t="s">
        <v>10</v>
      </c>
      <c r="D7" s="9">
        <v>2</v>
      </c>
      <c r="E7" s="9" t="s">
        <v>22</v>
      </c>
      <c r="F7" s="8" t="s">
        <v>23</v>
      </c>
      <c r="G7" s="10">
        <v>1000</v>
      </c>
      <c r="H7" s="10">
        <v>500</v>
      </c>
      <c r="I7" s="10">
        <v>16000</v>
      </c>
    </row>
    <row r="8" spans="1:9" x14ac:dyDescent="0.25">
      <c r="A8" s="3">
        <v>204</v>
      </c>
      <c r="B8" s="4" t="s">
        <v>24</v>
      </c>
      <c r="C8" s="4" t="s">
        <v>10</v>
      </c>
      <c r="D8" s="5">
        <v>2</v>
      </c>
      <c r="E8" s="5" t="s">
        <v>22</v>
      </c>
      <c r="F8" s="4" t="s">
        <v>23</v>
      </c>
      <c r="G8" s="6">
        <v>1000</v>
      </c>
      <c r="H8" s="6">
        <v>500</v>
      </c>
      <c r="I8" s="6">
        <v>16000</v>
      </c>
    </row>
    <row r="9" spans="1:9" x14ac:dyDescent="0.25">
      <c r="A9" s="7">
        <v>301</v>
      </c>
      <c r="B9" s="8" t="s">
        <v>25</v>
      </c>
      <c r="C9" s="8" t="s">
        <v>10</v>
      </c>
      <c r="D9" s="9">
        <v>3</v>
      </c>
      <c r="E9" s="9" t="s">
        <v>11</v>
      </c>
      <c r="F9" s="8" t="s">
        <v>23</v>
      </c>
      <c r="G9" s="10">
        <v>1500</v>
      </c>
      <c r="H9" s="10">
        <v>800</v>
      </c>
      <c r="I9" s="10">
        <v>21000</v>
      </c>
    </row>
    <row r="10" spans="1:9" x14ac:dyDescent="0.25">
      <c r="A10" s="3">
        <v>302</v>
      </c>
      <c r="B10" s="4" t="s">
        <v>26</v>
      </c>
      <c r="C10" s="4" t="s">
        <v>10</v>
      </c>
      <c r="D10" s="5">
        <v>3</v>
      </c>
      <c r="E10" s="5" t="s">
        <v>11</v>
      </c>
      <c r="F10" s="4" t="s">
        <v>12</v>
      </c>
      <c r="G10" s="6">
        <v>1500</v>
      </c>
      <c r="H10" s="6">
        <v>800</v>
      </c>
      <c r="I10" s="6">
        <v>21000</v>
      </c>
    </row>
    <row r="11" spans="1:9" x14ac:dyDescent="0.25">
      <c r="A11" s="7">
        <v>303</v>
      </c>
      <c r="B11" s="8" t="s">
        <v>27</v>
      </c>
      <c r="C11" s="8" t="s">
        <v>10</v>
      </c>
      <c r="D11" s="9">
        <v>3</v>
      </c>
      <c r="E11" s="9" t="s">
        <v>22</v>
      </c>
      <c r="F11" s="8" t="s">
        <v>28</v>
      </c>
      <c r="G11" s="10">
        <v>1000</v>
      </c>
      <c r="H11" s="10">
        <v>500</v>
      </c>
      <c r="I11" s="10">
        <v>16000</v>
      </c>
    </row>
    <row r="12" spans="1:9" x14ac:dyDescent="0.25">
      <c r="A12" s="3">
        <v>304</v>
      </c>
      <c r="B12" s="4" t="s">
        <v>29</v>
      </c>
      <c r="C12" s="4" t="s">
        <v>10</v>
      </c>
      <c r="D12" s="5">
        <v>3</v>
      </c>
      <c r="E12" s="5" t="s">
        <v>22</v>
      </c>
      <c r="F12" s="4" t="s">
        <v>23</v>
      </c>
      <c r="G12" s="6">
        <v>1000</v>
      </c>
      <c r="H12" s="6">
        <v>500</v>
      </c>
      <c r="I12" s="6">
        <v>16000</v>
      </c>
    </row>
    <row r="13" spans="1:9" x14ac:dyDescent="0.25">
      <c r="A13" s="7">
        <v>401</v>
      </c>
      <c r="B13" s="8" t="s">
        <v>30</v>
      </c>
      <c r="C13" s="8" t="s">
        <v>10</v>
      </c>
      <c r="D13" s="9">
        <v>4</v>
      </c>
      <c r="E13" s="9" t="s">
        <v>11</v>
      </c>
      <c r="F13" s="8" t="s">
        <v>14</v>
      </c>
      <c r="G13" s="10">
        <v>1500</v>
      </c>
      <c r="H13" s="10">
        <v>800</v>
      </c>
      <c r="I13" s="10">
        <v>21000</v>
      </c>
    </row>
    <row r="14" spans="1:9" x14ac:dyDescent="0.25">
      <c r="A14" s="3">
        <v>402</v>
      </c>
      <c r="B14" s="4" t="s">
        <v>31</v>
      </c>
      <c r="C14" s="4" t="s">
        <v>10</v>
      </c>
      <c r="D14" s="5">
        <v>4</v>
      </c>
      <c r="E14" s="5" t="s">
        <v>22</v>
      </c>
      <c r="F14" s="4" t="s">
        <v>32</v>
      </c>
      <c r="G14" s="6">
        <v>1000</v>
      </c>
      <c r="H14" s="6">
        <v>500</v>
      </c>
      <c r="I14" s="6">
        <v>16000</v>
      </c>
    </row>
    <row r="15" spans="1:9" x14ac:dyDescent="0.25">
      <c r="A15" s="7">
        <v>403</v>
      </c>
      <c r="B15" s="8" t="s">
        <v>33</v>
      </c>
      <c r="C15" s="8" t="s">
        <v>10</v>
      </c>
      <c r="D15" s="9">
        <v>4</v>
      </c>
      <c r="E15" s="9" t="s">
        <v>22</v>
      </c>
      <c r="F15" s="8" t="s">
        <v>23</v>
      </c>
      <c r="G15" s="10">
        <v>1000</v>
      </c>
      <c r="H15" s="10">
        <v>500</v>
      </c>
      <c r="I15" s="10">
        <v>16000</v>
      </c>
    </row>
    <row r="16" spans="1:9" x14ac:dyDescent="0.25">
      <c r="A16" s="3">
        <v>404</v>
      </c>
      <c r="B16" s="4" t="s">
        <v>34</v>
      </c>
      <c r="C16" s="4" t="s">
        <v>10</v>
      </c>
      <c r="D16" s="5">
        <v>4</v>
      </c>
      <c r="E16" s="5" t="s">
        <v>22</v>
      </c>
      <c r="F16" s="4" t="s">
        <v>28</v>
      </c>
      <c r="G16" s="6">
        <v>1000</v>
      </c>
      <c r="H16" s="6">
        <v>500</v>
      </c>
      <c r="I16" s="6">
        <v>16000</v>
      </c>
    </row>
    <row r="17" spans="1:9" x14ac:dyDescent="0.25">
      <c r="A17" s="7">
        <v>501</v>
      </c>
      <c r="B17" s="8" t="s">
        <v>35</v>
      </c>
      <c r="C17" s="8" t="s">
        <v>10</v>
      </c>
      <c r="D17" s="9">
        <v>5</v>
      </c>
      <c r="E17" s="9" t="s">
        <v>11</v>
      </c>
      <c r="F17" s="8" t="s">
        <v>32</v>
      </c>
      <c r="G17" s="10">
        <v>1500</v>
      </c>
      <c r="H17" s="10">
        <v>800</v>
      </c>
      <c r="I17" s="10">
        <v>21000</v>
      </c>
    </row>
    <row r="18" spans="1:9" x14ac:dyDescent="0.25">
      <c r="A18" s="3">
        <v>502</v>
      </c>
      <c r="B18" s="4" t="s">
        <v>36</v>
      </c>
      <c r="C18" s="4" t="s">
        <v>10</v>
      </c>
      <c r="D18" s="5">
        <v>5</v>
      </c>
      <c r="E18" s="5" t="s">
        <v>11</v>
      </c>
      <c r="F18" s="4" t="s">
        <v>32</v>
      </c>
      <c r="G18" s="6">
        <v>1500</v>
      </c>
      <c r="H18" s="6">
        <v>800</v>
      </c>
      <c r="I18" s="6">
        <v>21000</v>
      </c>
    </row>
    <row r="19" spans="1:9" x14ac:dyDescent="0.25">
      <c r="A19" s="7">
        <v>503</v>
      </c>
      <c r="B19" s="8" t="s">
        <v>37</v>
      </c>
      <c r="C19" s="8" t="s">
        <v>10</v>
      </c>
      <c r="D19" s="9">
        <v>5</v>
      </c>
      <c r="E19" s="9" t="s">
        <v>22</v>
      </c>
      <c r="F19" s="8" t="s">
        <v>28</v>
      </c>
      <c r="G19" s="10">
        <v>1000</v>
      </c>
      <c r="H19" s="10">
        <v>500</v>
      </c>
      <c r="I19" s="10">
        <v>16000</v>
      </c>
    </row>
    <row r="20" spans="1:9" x14ac:dyDescent="0.25">
      <c r="A20" s="3">
        <v>504</v>
      </c>
      <c r="B20" s="4" t="s">
        <v>38</v>
      </c>
      <c r="C20" s="4" t="s">
        <v>10</v>
      </c>
      <c r="D20" s="5">
        <v>5</v>
      </c>
      <c r="E20" s="5" t="s">
        <v>22</v>
      </c>
      <c r="F20" s="4" t="s">
        <v>28</v>
      </c>
      <c r="G20" s="6">
        <v>1000</v>
      </c>
      <c r="H20" s="6">
        <v>500</v>
      </c>
      <c r="I20" s="6">
        <v>16000</v>
      </c>
    </row>
    <row r="21" spans="1:9" x14ac:dyDescent="0.25">
      <c r="A21" s="7">
        <v>601</v>
      </c>
      <c r="B21" s="8" t="s">
        <v>15</v>
      </c>
      <c r="C21" s="8" t="s">
        <v>16</v>
      </c>
      <c r="D21" s="9">
        <v>6</v>
      </c>
      <c r="E21" s="9" t="s">
        <v>39</v>
      </c>
      <c r="F21" s="8" t="s">
        <v>18</v>
      </c>
      <c r="G21" s="8"/>
      <c r="H21" s="8"/>
      <c r="I2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CD8A-1079-4D39-98DD-438D51EA5615}">
  <dimension ref="A1:G61"/>
  <sheetViews>
    <sheetView tabSelected="1" topLeftCell="A42" workbookViewId="0">
      <selection activeCell="A2" sqref="A2:A61"/>
    </sheetView>
  </sheetViews>
  <sheetFormatPr defaultRowHeight="15" x14ac:dyDescent="0.25"/>
  <cols>
    <col min="1" max="1" width="14.140625" customWidth="1"/>
    <col min="2" max="3" width="14" customWidth="1"/>
    <col min="4" max="4" width="10" customWidth="1"/>
    <col min="5" max="5" width="16.42578125" customWidth="1"/>
    <col min="6" max="6" width="14" customWidth="1"/>
  </cols>
  <sheetData>
    <row r="1" spans="1:7" x14ac:dyDescent="0.25">
      <c r="A1" t="s">
        <v>83</v>
      </c>
      <c r="B1" t="s">
        <v>75</v>
      </c>
      <c r="C1" t="s">
        <v>84</v>
      </c>
      <c r="D1" t="s">
        <v>76</v>
      </c>
      <c r="E1" t="s">
        <v>77</v>
      </c>
      <c r="F1" t="s">
        <v>78</v>
      </c>
      <c r="G1" t="s">
        <v>79</v>
      </c>
    </row>
    <row r="2" spans="1:7" x14ac:dyDescent="0.25">
      <c r="A2" s="13">
        <v>1</v>
      </c>
      <c r="B2" s="3">
        <v>101</v>
      </c>
      <c r="C2" s="14" t="str">
        <f>VLOOKUP(Table1[[#This Row],[flat_number]],Sheet1!$A$1:$B$21,2,FALSE)</f>
        <v>N35410</v>
      </c>
      <c r="D2" t="s">
        <v>80</v>
      </c>
      <c r="E2">
        <v>21000</v>
      </c>
      <c r="F2" s="12">
        <v>45658</v>
      </c>
    </row>
    <row r="3" spans="1:7" x14ac:dyDescent="0.25">
      <c r="A3" s="7">
        <v>2</v>
      </c>
      <c r="B3" s="7">
        <v>102</v>
      </c>
      <c r="C3" s="15" t="str">
        <f>VLOOKUP(Table1[[#This Row],[flat_number]],Sheet1!$A$1:$B$21,2,FALSE)</f>
        <v>N35260</v>
      </c>
      <c r="D3" t="s">
        <v>80</v>
      </c>
      <c r="E3">
        <v>21000</v>
      </c>
      <c r="F3" s="12">
        <v>45658</v>
      </c>
    </row>
    <row r="4" spans="1:7" x14ac:dyDescent="0.25">
      <c r="A4" s="3">
        <v>3</v>
      </c>
      <c r="B4" s="3">
        <v>103</v>
      </c>
      <c r="C4" s="14" t="str">
        <f>VLOOKUP(Table1[[#This Row],[flat_number]],Sheet1!$A$1:$B$21,2,FALSE)</f>
        <v>NA</v>
      </c>
      <c r="D4" t="s">
        <v>80</v>
      </c>
      <c r="E4">
        <v>0</v>
      </c>
      <c r="F4" s="12">
        <v>45658</v>
      </c>
    </row>
    <row r="5" spans="1:7" x14ac:dyDescent="0.25">
      <c r="A5" s="7">
        <v>4</v>
      </c>
      <c r="B5" s="7">
        <v>201</v>
      </c>
      <c r="C5" s="15" t="str">
        <f>VLOOKUP(Table1[[#This Row],[flat_number]],Sheet1!$A$1:$B$21,2,FALSE)</f>
        <v>N35259</v>
      </c>
      <c r="D5" t="s">
        <v>80</v>
      </c>
      <c r="E5">
        <v>21000</v>
      </c>
      <c r="F5" s="12">
        <v>45658</v>
      </c>
    </row>
    <row r="6" spans="1:7" x14ac:dyDescent="0.25">
      <c r="A6" s="13">
        <v>5</v>
      </c>
      <c r="B6" s="3">
        <v>202</v>
      </c>
      <c r="C6" s="14" t="str">
        <f>VLOOKUP(Table1[[#This Row],[flat_number]],Sheet1!$A$1:$B$21,2,FALSE)</f>
        <v>N35408</v>
      </c>
      <c r="D6" t="s">
        <v>80</v>
      </c>
      <c r="E6">
        <v>21000</v>
      </c>
      <c r="F6" s="12">
        <v>45658</v>
      </c>
    </row>
    <row r="7" spans="1:7" x14ac:dyDescent="0.25">
      <c r="A7" s="7">
        <v>6</v>
      </c>
      <c r="B7" s="7">
        <v>203</v>
      </c>
      <c r="C7" s="15" t="str">
        <f>VLOOKUP(Table1[[#This Row],[flat_number]],Sheet1!$A$1:$B$21,2,FALSE)</f>
        <v>N35404</v>
      </c>
      <c r="D7" t="s">
        <v>80</v>
      </c>
      <c r="E7">
        <v>16000</v>
      </c>
      <c r="F7" s="12">
        <v>45658</v>
      </c>
    </row>
    <row r="8" spans="1:7" x14ac:dyDescent="0.25">
      <c r="A8" s="3">
        <v>7</v>
      </c>
      <c r="B8" s="3">
        <v>204</v>
      </c>
      <c r="C8" s="14" t="str">
        <f>VLOOKUP(Table1[[#This Row],[flat_number]],Sheet1!$A$1:$B$21,2,FALSE)</f>
        <v>N35405</v>
      </c>
      <c r="D8" t="s">
        <v>80</v>
      </c>
      <c r="E8">
        <v>16000</v>
      </c>
      <c r="F8" s="12">
        <v>45658</v>
      </c>
    </row>
    <row r="9" spans="1:7" x14ac:dyDescent="0.25">
      <c r="A9" s="7">
        <v>8</v>
      </c>
      <c r="B9" s="7">
        <v>301</v>
      </c>
      <c r="C9" s="15" t="str">
        <f>VLOOKUP(Table1[[#This Row],[flat_number]],Sheet1!$A$1:$B$21,2,FALSE)</f>
        <v>N35261</v>
      </c>
      <c r="D9" t="s">
        <v>80</v>
      </c>
      <c r="E9">
        <v>21000</v>
      </c>
      <c r="F9" s="12">
        <v>45658</v>
      </c>
    </row>
    <row r="10" spans="1:7" x14ac:dyDescent="0.25">
      <c r="A10" s="13">
        <v>9</v>
      </c>
      <c r="B10" s="3">
        <v>302</v>
      </c>
      <c r="C10" s="14" t="str">
        <f>VLOOKUP(Table1[[#This Row],[flat_number]],Sheet1!$A$1:$B$21,2,FALSE)</f>
        <v>N35409</v>
      </c>
      <c r="D10" t="s">
        <v>80</v>
      </c>
      <c r="E10">
        <v>21000</v>
      </c>
      <c r="F10" s="12">
        <v>45658</v>
      </c>
    </row>
    <row r="11" spans="1:7" x14ac:dyDescent="0.25">
      <c r="A11" s="7">
        <v>10</v>
      </c>
      <c r="B11" s="7">
        <v>303</v>
      </c>
      <c r="C11" s="15" t="str">
        <f>VLOOKUP(Table1[[#This Row],[flat_number]],Sheet1!$A$1:$B$21,2,FALSE)</f>
        <v>N35400</v>
      </c>
      <c r="D11" t="s">
        <v>80</v>
      </c>
      <c r="E11">
        <v>16000</v>
      </c>
      <c r="F11" s="12">
        <v>45658</v>
      </c>
    </row>
    <row r="12" spans="1:7" x14ac:dyDescent="0.25">
      <c r="A12" s="3">
        <v>11</v>
      </c>
      <c r="B12" s="3">
        <v>304</v>
      </c>
      <c r="C12" s="14" t="str">
        <f>VLOOKUP(Table1[[#This Row],[flat_number]],Sheet1!$A$1:$B$21,2,FALSE)</f>
        <v>N35403</v>
      </c>
      <c r="D12" t="s">
        <v>80</v>
      </c>
      <c r="E12">
        <v>16000</v>
      </c>
      <c r="F12" s="12">
        <v>45658</v>
      </c>
    </row>
    <row r="13" spans="1:7" x14ac:dyDescent="0.25">
      <c r="A13" s="7">
        <v>12</v>
      </c>
      <c r="B13" s="7">
        <v>401</v>
      </c>
      <c r="C13" s="15" t="str">
        <f>VLOOKUP(Table1[[#This Row],[flat_number]],Sheet1!$A$1:$B$21,2,FALSE)</f>
        <v>N35262</v>
      </c>
      <c r="D13" t="s">
        <v>80</v>
      </c>
      <c r="E13">
        <v>21000</v>
      </c>
      <c r="F13" s="12">
        <v>45658</v>
      </c>
    </row>
    <row r="14" spans="1:7" x14ac:dyDescent="0.25">
      <c r="A14" s="13">
        <v>13</v>
      </c>
      <c r="B14" s="3">
        <v>402</v>
      </c>
      <c r="C14" s="14" t="str">
        <f>VLOOKUP(Table1[[#This Row],[flat_number]],Sheet1!$A$1:$B$21,2,FALSE)</f>
        <v>N35407</v>
      </c>
      <c r="D14" t="s">
        <v>80</v>
      </c>
      <c r="E14">
        <v>16000</v>
      </c>
      <c r="F14" s="12">
        <v>45658</v>
      </c>
    </row>
    <row r="15" spans="1:7" x14ac:dyDescent="0.25">
      <c r="A15" s="7">
        <v>14</v>
      </c>
      <c r="B15" s="7">
        <v>403</v>
      </c>
      <c r="C15" s="15" t="str">
        <f>VLOOKUP(Table1[[#This Row],[flat_number]],Sheet1!$A$1:$B$21,2,FALSE)</f>
        <v>N35445</v>
      </c>
      <c r="D15" t="s">
        <v>80</v>
      </c>
      <c r="E15">
        <v>16000</v>
      </c>
      <c r="F15" s="12">
        <v>45658</v>
      </c>
    </row>
    <row r="16" spans="1:7" x14ac:dyDescent="0.25">
      <c r="A16" s="3">
        <v>15</v>
      </c>
      <c r="B16" s="3">
        <v>404</v>
      </c>
      <c r="C16" s="14" t="str">
        <f>VLOOKUP(Table1[[#This Row],[flat_number]],Sheet1!$A$1:$B$21,2,FALSE)</f>
        <v>N35401</v>
      </c>
      <c r="D16" t="s">
        <v>80</v>
      </c>
      <c r="E16">
        <v>16000</v>
      </c>
      <c r="F16" s="12">
        <v>45658</v>
      </c>
    </row>
    <row r="17" spans="1:6" x14ac:dyDescent="0.25">
      <c r="A17" s="7">
        <v>16</v>
      </c>
      <c r="B17" s="7">
        <v>501</v>
      </c>
      <c r="C17" s="15" t="str">
        <f>VLOOKUP(Table1[[#This Row],[flat_number]],Sheet1!$A$1:$B$21,2,FALSE)</f>
        <v>N35469</v>
      </c>
      <c r="D17" t="s">
        <v>80</v>
      </c>
      <c r="E17">
        <v>21000</v>
      </c>
      <c r="F17" s="12">
        <v>45658</v>
      </c>
    </row>
    <row r="18" spans="1:6" x14ac:dyDescent="0.25">
      <c r="A18" s="13">
        <v>17</v>
      </c>
      <c r="B18" s="3">
        <v>502</v>
      </c>
      <c r="C18" s="14" t="str">
        <f>VLOOKUP(Table1[[#This Row],[flat_number]],Sheet1!$A$1:$B$21,2,FALSE)</f>
        <v>N35411</v>
      </c>
      <c r="D18" t="s">
        <v>80</v>
      </c>
      <c r="E18">
        <v>21000</v>
      </c>
      <c r="F18" s="12">
        <v>45658</v>
      </c>
    </row>
    <row r="19" spans="1:6" x14ac:dyDescent="0.25">
      <c r="A19" s="7">
        <v>18</v>
      </c>
      <c r="B19" s="7">
        <v>503</v>
      </c>
      <c r="C19" s="15" t="str">
        <f>VLOOKUP(Table1[[#This Row],[flat_number]],Sheet1!$A$1:$B$21,2,FALSE)</f>
        <v>N35402</v>
      </c>
      <c r="D19" t="s">
        <v>80</v>
      </c>
      <c r="E19">
        <v>16000</v>
      </c>
      <c r="F19" s="12">
        <v>45658</v>
      </c>
    </row>
    <row r="20" spans="1:6" x14ac:dyDescent="0.25">
      <c r="A20" s="3">
        <v>19</v>
      </c>
      <c r="B20" s="3">
        <v>504</v>
      </c>
      <c r="C20" s="14" t="str">
        <f>VLOOKUP(Table1[[#This Row],[flat_number]],Sheet1!$A$1:$B$21,2,FALSE)</f>
        <v>N35468</v>
      </c>
      <c r="D20" t="s">
        <v>80</v>
      </c>
      <c r="E20">
        <v>16000</v>
      </c>
      <c r="F20" s="12">
        <v>45658</v>
      </c>
    </row>
    <row r="21" spans="1:6" x14ac:dyDescent="0.25">
      <c r="A21" s="7">
        <v>20</v>
      </c>
      <c r="B21" s="7">
        <v>601</v>
      </c>
      <c r="C21" s="15" t="str">
        <f>VLOOKUP(Table1[[#This Row],[flat_number]],Sheet1!$A$1:$B$21,2,FALSE)</f>
        <v>NA</v>
      </c>
      <c r="D21" t="s">
        <v>80</v>
      </c>
      <c r="E21">
        <v>0</v>
      </c>
      <c r="F21" s="12">
        <v>45658</v>
      </c>
    </row>
    <row r="22" spans="1:6" x14ac:dyDescent="0.25">
      <c r="A22" s="13">
        <v>21</v>
      </c>
      <c r="B22" s="3">
        <v>101</v>
      </c>
      <c r="C22" s="14" t="str">
        <f>VLOOKUP(Table1[[#This Row],[flat_number]],Sheet1!$A$1:$B$21,2,FALSE)</f>
        <v>N35410</v>
      </c>
      <c r="D22" t="s">
        <v>81</v>
      </c>
      <c r="E22">
        <v>1500</v>
      </c>
      <c r="F22" s="12">
        <v>45658</v>
      </c>
    </row>
    <row r="23" spans="1:6" x14ac:dyDescent="0.25">
      <c r="A23" s="7">
        <v>22</v>
      </c>
      <c r="B23" s="7">
        <v>102</v>
      </c>
      <c r="C23" s="15" t="str">
        <f>VLOOKUP(Table1[[#This Row],[flat_number]],Sheet1!$A$1:$B$21,2,FALSE)</f>
        <v>N35260</v>
      </c>
      <c r="D23" t="s">
        <v>81</v>
      </c>
      <c r="E23">
        <v>1500</v>
      </c>
      <c r="F23" s="12">
        <v>45658</v>
      </c>
    </row>
    <row r="24" spans="1:6" x14ac:dyDescent="0.25">
      <c r="A24" s="3">
        <v>23</v>
      </c>
      <c r="B24" s="3">
        <v>103</v>
      </c>
      <c r="C24" s="14" t="str">
        <f>VLOOKUP(Table1[[#This Row],[flat_number]],Sheet1!$A$1:$B$21,2,FALSE)</f>
        <v>NA</v>
      </c>
      <c r="D24" t="s">
        <v>81</v>
      </c>
      <c r="E24">
        <v>0</v>
      </c>
      <c r="F24" s="12">
        <v>45658</v>
      </c>
    </row>
    <row r="25" spans="1:6" x14ac:dyDescent="0.25">
      <c r="A25" s="7">
        <v>24</v>
      </c>
      <c r="B25" s="7">
        <v>201</v>
      </c>
      <c r="C25" s="15" t="str">
        <f>VLOOKUP(Table1[[#This Row],[flat_number]],Sheet1!$A$1:$B$21,2,FALSE)</f>
        <v>N35259</v>
      </c>
      <c r="D25" t="s">
        <v>81</v>
      </c>
      <c r="E25">
        <v>1500</v>
      </c>
      <c r="F25" s="12">
        <v>45658</v>
      </c>
    </row>
    <row r="26" spans="1:6" x14ac:dyDescent="0.25">
      <c r="A26" s="13">
        <v>25</v>
      </c>
      <c r="B26" s="3">
        <v>202</v>
      </c>
      <c r="C26" s="14" t="str">
        <f>VLOOKUP(Table1[[#This Row],[flat_number]],Sheet1!$A$1:$B$21,2,FALSE)</f>
        <v>N35408</v>
      </c>
      <c r="D26" t="s">
        <v>81</v>
      </c>
      <c r="E26">
        <v>1500</v>
      </c>
      <c r="F26" s="12">
        <v>45658</v>
      </c>
    </row>
    <row r="27" spans="1:6" x14ac:dyDescent="0.25">
      <c r="A27" s="7">
        <v>26</v>
      </c>
      <c r="B27" s="7">
        <v>203</v>
      </c>
      <c r="C27" s="15" t="str">
        <f>VLOOKUP(Table1[[#This Row],[flat_number]],Sheet1!$A$1:$B$21,2,FALSE)</f>
        <v>N35404</v>
      </c>
      <c r="D27" t="s">
        <v>81</v>
      </c>
      <c r="E27">
        <v>1000</v>
      </c>
      <c r="F27" s="12">
        <v>45658</v>
      </c>
    </row>
    <row r="28" spans="1:6" x14ac:dyDescent="0.25">
      <c r="A28" s="3">
        <v>27</v>
      </c>
      <c r="B28" s="3">
        <v>204</v>
      </c>
      <c r="C28" s="14" t="str">
        <f>VLOOKUP(Table1[[#This Row],[flat_number]],Sheet1!$A$1:$B$21,2,FALSE)</f>
        <v>N35405</v>
      </c>
      <c r="D28" t="s">
        <v>81</v>
      </c>
      <c r="E28">
        <v>1000</v>
      </c>
      <c r="F28" s="12">
        <v>45658</v>
      </c>
    </row>
    <row r="29" spans="1:6" x14ac:dyDescent="0.25">
      <c r="A29" s="7">
        <v>28</v>
      </c>
      <c r="B29" s="7">
        <v>301</v>
      </c>
      <c r="C29" s="15" t="str">
        <f>VLOOKUP(Table1[[#This Row],[flat_number]],Sheet1!$A$1:$B$21,2,FALSE)</f>
        <v>N35261</v>
      </c>
      <c r="D29" t="s">
        <v>81</v>
      </c>
      <c r="E29">
        <v>1500</v>
      </c>
      <c r="F29" s="12">
        <v>45658</v>
      </c>
    </row>
    <row r="30" spans="1:6" x14ac:dyDescent="0.25">
      <c r="A30" s="13">
        <v>29</v>
      </c>
      <c r="B30" s="3">
        <v>302</v>
      </c>
      <c r="C30" s="14" t="str">
        <f>VLOOKUP(Table1[[#This Row],[flat_number]],Sheet1!$A$1:$B$21,2,FALSE)</f>
        <v>N35409</v>
      </c>
      <c r="D30" t="s">
        <v>81</v>
      </c>
      <c r="E30">
        <v>1500</v>
      </c>
      <c r="F30" s="12">
        <v>45658</v>
      </c>
    </row>
    <row r="31" spans="1:6" x14ac:dyDescent="0.25">
      <c r="A31" s="7">
        <v>30</v>
      </c>
      <c r="B31" s="7">
        <v>303</v>
      </c>
      <c r="C31" s="15" t="str">
        <f>VLOOKUP(Table1[[#This Row],[flat_number]],Sheet1!$A$1:$B$21,2,FALSE)</f>
        <v>N35400</v>
      </c>
      <c r="D31" t="s">
        <v>81</v>
      </c>
      <c r="E31">
        <v>1000</v>
      </c>
      <c r="F31" s="12">
        <v>45658</v>
      </c>
    </row>
    <row r="32" spans="1:6" x14ac:dyDescent="0.25">
      <c r="A32" s="3">
        <v>31</v>
      </c>
      <c r="B32" s="3">
        <v>304</v>
      </c>
      <c r="C32" s="14" t="str">
        <f>VLOOKUP(Table1[[#This Row],[flat_number]],Sheet1!$A$1:$B$21,2,FALSE)</f>
        <v>N35403</v>
      </c>
      <c r="D32" t="s">
        <v>81</v>
      </c>
      <c r="E32">
        <v>1000</v>
      </c>
      <c r="F32" s="12">
        <v>45658</v>
      </c>
    </row>
    <row r="33" spans="1:6" x14ac:dyDescent="0.25">
      <c r="A33" s="7">
        <v>32</v>
      </c>
      <c r="B33" s="7">
        <v>401</v>
      </c>
      <c r="C33" s="15" t="str">
        <f>VLOOKUP(Table1[[#This Row],[flat_number]],Sheet1!$A$1:$B$21,2,FALSE)</f>
        <v>N35262</v>
      </c>
      <c r="D33" t="s">
        <v>81</v>
      </c>
      <c r="E33">
        <v>1500</v>
      </c>
      <c r="F33" s="12">
        <v>45658</v>
      </c>
    </row>
    <row r="34" spans="1:6" x14ac:dyDescent="0.25">
      <c r="A34" s="13">
        <v>33</v>
      </c>
      <c r="B34" s="3">
        <v>402</v>
      </c>
      <c r="C34" s="14" t="str">
        <f>VLOOKUP(Table1[[#This Row],[flat_number]],Sheet1!$A$1:$B$21,2,FALSE)</f>
        <v>N35407</v>
      </c>
      <c r="D34" t="s">
        <v>81</v>
      </c>
      <c r="E34">
        <v>1000</v>
      </c>
      <c r="F34" s="12">
        <v>45658</v>
      </c>
    </row>
    <row r="35" spans="1:6" x14ac:dyDescent="0.25">
      <c r="A35" s="7">
        <v>34</v>
      </c>
      <c r="B35" s="7">
        <v>403</v>
      </c>
      <c r="C35" s="15" t="str">
        <f>VLOOKUP(Table1[[#This Row],[flat_number]],Sheet1!$A$1:$B$21,2,FALSE)</f>
        <v>N35445</v>
      </c>
      <c r="D35" t="s">
        <v>81</v>
      </c>
      <c r="E35">
        <v>1000</v>
      </c>
      <c r="F35" s="12">
        <v>45658</v>
      </c>
    </row>
    <row r="36" spans="1:6" x14ac:dyDescent="0.25">
      <c r="A36" s="3">
        <v>35</v>
      </c>
      <c r="B36" s="3">
        <v>404</v>
      </c>
      <c r="C36" s="14" t="str">
        <f>VLOOKUP(Table1[[#This Row],[flat_number]],Sheet1!$A$1:$B$21,2,FALSE)</f>
        <v>N35401</v>
      </c>
      <c r="D36" t="s">
        <v>81</v>
      </c>
      <c r="E36">
        <v>1000</v>
      </c>
      <c r="F36" s="12">
        <v>45658</v>
      </c>
    </row>
    <row r="37" spans="1:6" x14ac:dyDescent="0.25">
      <c r="A37" s="7">
        <v>36</v>
      </c>
      <c r="B37" s="7">
        <v>501</v>
      </c>
      <c r="C37" s="15" t="str">
        <f>VLOOKUP(Table1[[#This Row],[flat_number]],Sheet1!$A$1:$B$21,2,FALSE)</f>
        <v>N35469</v>
      </c>
      <c r="D37" t="s">
        <v>81</v>
      </c>
      <c r="E37">
        <v>1500</v>
      </c>
      <c r="F37" s="12">
        <v>45658</v>
      </c>
    </row>
    <row r="38" spans="1:6" x14ac:dyDescent="0.25">
      <c r="A38" s="13">
        <v>37</v>
      </c>
      <c r="B38" s="3">
        <v>502</v>
      </c>
      <c r="C38" s="14" t="str">
        <f>VLOOKUP(Table1[[#This Row],[flat_number]],Sheet1!$A$1:$B$21,2,FALSE)</f>
        <v>N35411</v>
      </c>
      <c r="D38" t="s">
        <v>81</v>
      </c>
      <c r="E38">
        <v>1500</v>
      </c>
      <c r="F38" s="12">
        <v>45658</v>
      </c>
    </row>
    <row r="39" spans="1:6" x14ac:dyDescent="0.25">
      <c r="A39" s="7">
        <v>38</v>
      </c>
      <c r="B39" s="7">
        <v>503</v>
      </c>
      <c r="C39" s="15" t="str">
        <f>VLOOKUP(Table1[[#This Row],[flat_number]],Sheet1!$A$1:$B$21,2,FALSE)</f>
        <v>N35402</v>
      </c>
      <c r="D39" t="s">
        <v>81</v>
      </c>
      <c r="E39">
        <v>1000</v>
      </c>
      <c r="F39" s="12">
        <v>45658</v>
      </c>
    </row>
    <row r="40" spans="1:6" x14ac:dyDescent="0.25">
      <c r="A40" s="3">
        <v>39</v>
      </c>
      <c r="B40" s="3">
        <v>504</v>
      </c>
      <c r="C40" s="14" t="str">
        <f>VLOOKUP(Table1[[#This Row],[flat_number]],Sheet1!$A$1:$B$21,2,FALSE)</f>
        <v>N35468</v>
      </c>
      <c r="D40" t="s">
        <v>81</v>
      </c>
      <c r="E40">
        <v>1000</v>
      </c>
      <c r="F40" s="12">
        <v>45658</v>
      </c>
    </row>
    <row r="41" spans="1:6" x14ac:dyDescent="0.25">
      <c r="A41" s="7">
        <v>40</v>
      </c>
      <c r="B41" s="7">
        <v>601</v>
      </c>
      <c r="C41" s="15" t="str">
        <f>VLOOKUP(Table1[[#This Row],[flat_number]],Sheet1!$A$1:$B$21,2,FALSE)</f>
        <v>NA</v>
      </c>
      <c r="D41" t="s">
        <v>81</v>
      </c>
      <c r="E41">
        <v>0</v>
      </c>
      <c r="F41" s="12">
        <v>45658</v>
      </c>
    </row>
    <row r="42" spans="1:6" x14ac:dyDescent="0.25">
      <c r="A42" s="13">
        <v>41</v>
      </c>
      <c r="B42" s="3">
        <v>101</v>
      </c>
      <c r="C42" s="14" t="str">
        <f>VLOOKUP(Table1[[#This Row],[flat_number]],Sheet1!$A$1:$B$21,2,FALSE)</f>
        <v>N35410</v>
      </c>
      <c r="D42" t="s">
        <v>82</v>
      </c>
      <c r="E42">
        <v>800</v>
      </c>
      <c r="F42" s="12">
        <v>45658</v>
      </c>
    </row>
    <row r="43" spans="1:6" x14ac:dyDescent="0.25">
      <c r="A43" s="7">
        <v>42</v>
      </c>
      <c r="B43" s="7">
        <v>102</v>
      </c>
      <c r="C43" s="15" t="str">
        <f>VLOOKUP(Table1[[#This Row],[flat_number]],Sheet1!$A$1:$B$21,2,FALSE)</f>
        <v>N35260</v>
      </c>
      <c r="D43" t="s">
        <v>82</v>
      </c>
      <c r="E43">
        <v>800</v>
      </c>
      <c r="F43" s="12">
        <v>45658</v>
      </c>
    </row>
    <row r="44" spans="1:6" x14ac:dyDescent="0.25">
      <c r="A44" s="3">
        <v>43</v>
      </c>
      <c r="B44" s="3">
        <v>103</v>
      </c>
      <c r="C44" s="14" t="str">
        <f>VLOOKUP(Table1[[#This Row],[flat_number]],Sheet1!$A$1:$B$21,2,FALSE)</f>
        <v>NA</v>
      </c>
      <c r="D44" t="s">
        <v>82</v>
      </c>
      <c r="E44">
        <v>0</v>
      </c>
      <c r="F44" s="12">
        <v>45658</v>
      </c>
    </row>
    <row r="45" spans="1:6" x14ac:dyDescent="0.25">
      <c r="A45" s="7">
        <v>44</v>
      </c>
      <c r="B45" s="7">
        <v>201</v>
      </c>
      <c r="C45" s="15" t="str">
        <f>VLOOKUP(Table1[[#This Row],[flat_number]],Sheet1!$A$1:$B$21,2,FALSE)</f>
        <v>N35259</v>
      </c>
      <c r="D45" t="s">
        <v>82</v>
      </c>
      <c r="E45">
        <v>800</v>
      </c>
      <c r="F45" s="12">
        <v>45658</v>
      </c>
    </row>
    <row r="46" spans="1:6" x14ac:dyDescent="0.25">
      <c r="A46" s="13">
        <v>45</v>
      </c>
      <c r="B46" s="3">
        <v>202</v>
      </c>
      <c r="C46" s="14" t="str">
        <f>VLOOKUP(Table1[[#This Row],[flat_number]],Sheet1!$A$1:$B$21,2,FALSE)</f>
        <v>N35408</v>
      </c>
      <c r="D46" t="s">
        <v>82</v>
      </c>
      <c r="E46">
        <v>800</v>
      </c>
      <c r="F46" s="12">
        <v>45658</v>
      </c>
    </row>
    <row r="47" spans="1:6" x14ac:dyDescent="0.25">
      <c r="A47" s="7">
        <v>46</v>
      </c>
      <c r="B47" s="7">
        <v>203</v>
      </c>
      <c r="C47" s="15" t="str">
        <f>VLOOKUP(Table1[[#This Row],[flat_number]],Sheet1!$A$1:$B$21,2,FALSE)</f>
        <v>N35404</v>
      </c>
      <c r="D47" t="s">
        <v>82</v>
      </c>
      <c r="E47">
        <v>500</v>
      </c>
      <c r="F47" s="12">
        <v>45658</v>
      </c>
    </row>
    <row r="48" spans="1:6" x14ac:dyDescent="0.25">
      <c r="A48" s="3">
        <v>47</v>
      </c>
      <c r="B48" s="3">
        <v>204</v>
      </c>
      <c r="C48" s="14" t="str">
        <f>VLOOKUP(Table1[[#This Row],[flat_number]],Sheet1!$A$1:$B$21,2,FALSE)</f>
        <v>N35405</v>
      </c>
      <c r="D48" t="s">
        <v>82</v>
      </c>
      <c r="E48">
        <v>500</v>
      </c>
      <c r="F48" s="12">
        <v>45658</v>
      </c>
    </row>
    <row r="49" spans="1:6" x14ac:dyDescent="0.25">
      <c r="A49" s="7">
        <v>48</v>
      </c>
      <c r="B49" s="7">
        <v>301</v>
      </c>
      <c r="C49" s="15" t="str">
        <f>VLOOKUP(Table1[[#This Row],[flat_number]],Sheet1!$A$1:$B$21,2,FALSE)</f>
        <v>N35261</v>
      </c>
      <c r="D49" t="s">
        <v>82</v>
      </c>
      <c r="E49">
        <v>800</v>
      </c>
      <c r="F49" s="12">
        <v>45658</v>
      </c>
    </row>
    <row r="50" spans="1:6" x14ac:dyDescent="0.25">
      <c r="A50" s="13">
        <v>49</v>
      </c>
      <c r="B50" s="3">
        <v>302</v>
      </c>
      <c r="C50" s="14" t="str">
        <f>VLOOKUP(Table1[[#This Row],[flat_number]],Sheet1!$A$1:$B$21,2,FALSE)</f>
        <v>N35409</v>
      </c>
      <c r="D50" t="s">
        <v>82</v>
      </c>
      <c r="E50">
        <v>800</v>
      </c>
      <c r="F50" s="12">
        <v>45658</v>
      </c>
    </row>
    <row r="51" spans="1:6" x14ac:dyDescent="0.25">
      <c r="A51" s="7">
        <v>50</v>
      </c>
      <c r="B51" s="7">
        <v>303</v>
      </c>
      <c r="C51" s="15" t="str">
        <f>VLOOKUP(Table1[[#This Row],[flat_number]],Sheet1!$A$1:$B$21,2,FALSE)</f>
        <v>N35400</v>
      </c>
      <c r="D51" t="s">
        <v>82</v>
      </c>
      <c r="E51">
        <v>500</v>
      </c>
      <c r="F51" s="12">
        <v>45658</v>
      </c>
    </row>
    <row r="52" spans="1:6" x14ac:dyDescent="0.25">
      <c r="A52" s="3">
        <v>51</v>
      </c>
      <c r="B52" s="3">
        <v>304</v>
      </c>
      <c r="C52" s="14" t="str">
        <f>VLOOKUP(Table1[[#This Row],[flat_number]],Sheet1!$A$1:$B$21,2,FALSE)</f>
        <v>N35403</v>
      </c>
      <c r="D52" t="s">
        <v>82</v>
      </c>
      <c r="E52">
        <v>500</v>
      </c>
      <c r="F52" s="12">
        <v>45658</v>
      </c>
    </row>
    <row r="53" spans="1:6" x14ac:dyDescent="0.25">
      <c r="A53" s="7">
        <v>52</v>
      </c>
      <c r="B53" s="7">
        <v>401</v>
      </c>
      <c r="C53" s="15" t="str">
        <f>VLOOKUP(Table1[[#This Row],[flat_number]],Sheet1!$A$1:$B$21,2,FALSE)</f>
        <v>N35262</v>
      </c>
      <c r="D53" t="s">
        <v>82</v>
      </c>
      <c r="E53">
        <v>800</v>
      </c>
      <c r="F53" s="12">
        <v>45658</v>
      </c>
    </row>
    <row r="54" spans="1:6" x14ac:dyDescent="0.25">
      <c r="A54" s="13">
        <v>53</v>
      </c>
      <c r="B54" s="3">
        <v>402</v>
      </c>
      <c r="C54" s="14" t="str">
        <f>VLOOKUP(Table1[[#This Row],[flat_number]],Sheet1!$A$1:$B$21,2,FALSE)</f>
        <v>N35407</v>
      </c>
      <c r="D54" t="s">
        <v>82</v>
      </c>
      <c r="E54">
        <v>500</v>
      </c>
      <c r="F54" s="12">
        <v>45658</v>
      </c>
    </row>
    <row r="55" spans="1:6" x14ac:dyDescent="0.25">
      <c r="A55" s="7">
        <v>54</v>
      </c>
      <c r="B55" s="7">
        <v>403</v>
      </c>
      <c r="C55" s="15" t="str">
        <f>VLOOKUP(Table1[[#This Row],[flat_number]],Sheet1!$A$1:$B$21,2,FALSE)</f>
        <v>N35445</v>
      </c>
      <c r="D55" t="s">
        <v>82</v>
      </c>
      <c r="E55">
        <v>500</v>
      </c>
      <c r="F55" s="12">
        <v>45658</v>
      </c>
    </row>
    <row r="56" spans="1:6" x14ac:dyDescent="0.25">
      <c r="A56" s="3">
        <v>55</v>
      </c>
      <c r="B56" s="3">
        <v>404</v>
      </c>
      <c r="C56" s="14" t="str">
        <f>VLOOKUP(Table1[[#This Row],[flat_number]],Sheet1!$A$1:$B$21,2,FALSE)</f>
        <v>N35401</v>
      </c>
      <c r="D56" t="s">
        <v>82</v>
      </c>
      <c r="E56">
        <v>500</v>
      </c>
      <c r="F56" s="12">
        <v>45658</v>
      </c>
    </row>
    <row r="57" spans="1:6" x14ac:dyDescent="0.25">
      <c r="A57" s="7">
        <v>56</v>
      </c>
      <c r="B57" s="7">
        <v>501</v>
      </c>
      <c r="C57" s="15" t="str">
        <f>VLOOKUP(Table1[[#This Row],[flat_number]],Sheet1!$A$1:$B$21,2,FALSE)</f>
        <v>N35469</v>
      </c>
      <c r="D57" t="s">
        <v>82</v>
      </c>
      <c r="E57">
        <v>800</v>
      </c>
      <c r="F57" s="12">
        <v>45658</v>
      </c>
    </row>
    <row r="58" spans="1:6" x14ac:dyDescent="0.25">
      <c r="A58" s="13">
        <v>57</v>
      </c>
      <c r="B58" s="3">
        <v>502</v>
      </c>
      <c r="C58" s="14" t="str">
        <f>VLOOKUP(Table1[[#This Row],[flat_number]],Sheet1!$A$1:$B$21,2,FALSE)</f>
        <v>N35411</v>
      </c>
      <c r="D58" t="s">
        <v>82</v>
      </c>
      <c r="E58">
        <v>800</v>
      </c>
      <c r="F58" s="12">
        <v>45658</v>
      </c>
    </row>
    <row r="59" spans="1:6" x14ac:dyDescent="0.25">
      <c r="A59" s="7">
        <v>58</v>
      </c>
      <c r="B59" s="7">
        <v>503</v>
      </c>
      <c r="C59" s="15" t="str">
        <f>VLOOKUP(Table1[[#This Row],[flat_number]],Sheet1!$A$1:$B$21,2,FALSE)</f>
        <v>N35402</v>
      </c>
      <c r="D59" t="s">
        <v>82</v>
      </c>
      <c r="E59">
        <v>500</v>
      </c>
      <c r="F59" s="12">
        <v>45658</v>
      </c>
    </row>
    <row r="60" spans="1:6" x14ac:dyDescent="0.25">
      <c r="A60" s="3">
        <v>59</v>
      </c>
      <c r="B60" s="3">
        <v>504</v>
      </c>
      <c r="C60" s="14" t="str">
        <f>VLOOKUP(Table1[[#This Row],[flat_number]],Sheet1!$A$1:$B$21,2,FALSE)</f>
        <v>N35468</v>
      </c>
      <c r="D60" t="s">
        <v>82</v>
      </c>
      <c r="E60">
        <v>500</v>
      </c>
      <c r="F60" s="12">
        <v>45658</v>
      </c>
    </row>
    <row r="61" spans="1:6" x14ac:dyDescent="0.25">
      <c r="A61" s="7">
        <v>60</v>
      </c>
      <c r="B61" s="7">
        <v>601</v>
      </c>
      <c r="C61" s="15" t="str">
        <f>VLOOKUP(Table1[[#This Row],[flat_number]],Sheet1!$A$1:$B$21,2,FALSE)</f>
        <v>NA</v>
      </c>
      <c r="D61" t="s">
        <v>82</v>
      </c>
      <c r="E61">
        <v>0</v>
      </c>
      <c r="F61" s="12">
        <v>45658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D6CB-4DE2-4142-B425-80D47562CBBE}">
  <dimension ref="A1:B30"/>
  <sheetViews>
    <sheetView topLeftCell="A16" workbookViewId="0">
      <selection activeCell="G6" sqref="G6:G7"/>
    </sheetView>
  </sheetViews>
  <sheetFormatPr defaultRowHeight="15" x14ac:dyDescent="0.25"/>
  <cols>
    <col min="1" max="1" width="26.5703125" bestFit="1" customWidth="1"/>
    <col min="2" max="2" width="28.28515625" bestFit="1" customWidth="1"/>
  </cols>
  <sheetData>
    <row r="1" spans="1:2" x14ac:dyDescent="0.25">
      <c r="A1" s="11" t="s">
        <v>40</v>
      </c>
      <c r="B1" s="11" t="s">
        <v>42</v>
      </c>
    </row>
    <row r="2" spans="1:2" x14ac:dyDescent="0.25">
      <c r="A2" t="s">
        <v>41</v>
      </c>
      <c r="B2" t="s">
        <v>43</v>
      </c>
    </row>
    <row r="3" spans="1:2" x14ac:dyDescent="0.25">
      <c r="A3" t="s">
        <v>41</v>
      </c>
      <c r="B3" t="s">
        <v>44</v>
      </c>
    </row>
    <row r="4" spans="1:2" x14ac:dyDescent="0.25">
      <c r="A4" t="s">
        <v>41</v>
      </c>
      <c r="B4" t="s">
        <v>45</v>
      </c>
    </row>
    <row r="5" spans="1:2" x14ac:dyDescent="0.25">
      <c r="A5" t="s">
        <v>41</v>
      </c>
      <c r="B5" t="s">
        <v>46</v>
      </c>
    </row>
    <row r="6" spans="1:2" x14ac:dyDescent="0.25">
      <c r="A6" t="s">
        <v>41</v>
      </c>
      <c r="B6" t="s">
        <v>47</v>
      </c>
    </row>
    <row r="7" spans="1:2" x14ac:dyDescent="0.25">
      <c r="A7" t="s">
        <v>41</v>
      </c>
      <c r="B7" t="s">
        <v>48</v>
      </c>
    </row>
    <row r="8" spans="1:2" x14ac:dyDescent="0.25">
      <c r="A8" t="s">
        <v>41</v>
      </c>
      <c r="B8" t="s">
        <v>74</v>
      </c>
    </row>
    <row r="9" spans="1:2" x14ac:dyDescent="0.25">
      <c r="A9" t="s">
        <v>41</v>
      </c>
      <c r="B9" t="s">
        <v>49</v>
      </c>
    </row>
    <row r="10" spans="1:2" x14ac:dyDescent="0.25">
      <c r="A10" t="s">
        <v>41</v>
      </c>
      <c r="B10" t="s">
        <v>50</v>
      </c>
    </row>
    <row r="11" spans="1:2" x14ac:dyDescent="0.25">
      <c r="A11" t="s">
        <v>51</v>
      </c>
      <c r="B11" t="s">
        <v>52</v>
      </c>
    </row>
    <row r="12" spans="1:2" x14ac:dyDescent="0.25">
      <c r="A12" t="s">
        <v>51</v>
      </c>
      <c r="B12" t="s">
        <v>53</v>
      </c>
    </row>
    <row r="13" spans="1:2" x14ac:dyDescent="0.25">
      <c r="A13" t="s">
        <v>51</v>
      </c>
      <c r="B13" t="s">
        <v>54</v>
      </c>
    </row>
    <row r="14" spans="1:2" x14ac:dyDescent="0.25">
      <c r="A14" t="s">
        <v>51</v>
      </c>
      <c r="B14" t="s">
        <v>50</v>
      </c>
    </row>
    <row r="15" spans="1:2" x14ac:dyDescent="0.25">
      <c r="A15" t="s">
        <v>55</v>
      </c>
      <c r="B15" t="s">
        <v>56</v>
      </c>
    </row>
    <row r="16" spans="1:2" x14ac:dyDescent="0.25">
      <c r="A16" t="s">
        <v>55</v>
      </c>
      <c r="B16" t="s">
        <v>57</v>
      </c>
    </row>
    <row r="17" spans="1:2" x14ac:dyDescent="0.25">
      <c r="A17" t="s">
        <v>55</v>
      </c>
      <c r="B17" t="s">
        <v>58</v>
      </c>
    </row>
    <row r="18" spans="1:2" x14ac:dyDescent="0.25">
      <c r="A18" t="s">
        <v>55</v>
      </c>
      <c r="B18" t="s">
        <v>59</v>
      </c>
    </row>
    <row r="19" spans="1:2" x14ac:dyDescent="0.25">
      <c r="A19" t="s">
        <v>55</v>
      </c>
      <c r="B19" t="s">
        <v>60</v>
      </c>
    </row>
    <row r="20" spans="1:2" x14ac:dyDescent="0.25">
      <c r="A20" t="s">
        <v>55</v>
      </c>
      <c r="B20" t="s">
        <v>61</v>
      </c>
    </row>
    <row r="21" spans="1:2" x14ac:dyDescent="0.25">
      <c r="A21" t="s">
        <v>55</v>
      </c>
      <c r="B21" t="s">
        <v>62</v>
      </c>
    </row>
    <row r="22" spans="1:2" x14ac:dyDescent="0.25">
      <c r="A22" t="s">
        <v>55</v>
      </c>
      <c r="B22" t="s">
        <v>50</v>
      </c>
    </row>
    <row r="23" spans="1:2" x14ac:dyDescent="0.25">
      <c r="A23" t="s">
        <v>63</v>
      </c>
      <c r="B23" t="s">
        <v>64</v>
      </c>
    </row>
    <row r="24" spans="1:2" x14ac:dyDescent="0.25">
      <c r="A24" t="s">
        <v>66</v>
      </c>
      <c r="B24" t="s">
        <v>67</v>
      </c>
    </row>
    <row r="25" spans="1:2" x14ac:dyDescent="0.25">
      <c r="A25" t="s">
        <v>66</v>
      </c>
      <c r="B25" t="s">
        <v>68</v>
      </c>
    </row>
    <row r="26" spans="1:2" x14ac:dyDescent="0.25">
      <c r="A26" t="s">
        <v>66</v>
      </c>
      <c r="B26" t="s">
        <v>65</v>
      </c>
    </row>
    <row r="27" spans="1:2" x14ac:dyDescent="0.25">
      <c r="A27" t="s">
        <v>54</v>
      </c>
      <c r="B27" t="s">
        <v>69</v>
      </c>
    </row>
    <row r="28" spans="1:2" x14ac:dyDescent="0.25">
      <c r="A28" t="s">
        <v>54</v>
      </c>
      <c r="B28" t="s">
        <v>70</v>
      </c>
    </row>
    <row r="29" spans="1:2" x14ac:dyDescent="0.25">
      <c r="A29" t="s">
        <v>54</v>
      </c>
      <c r="B29" t="s">
        <v>71</v>
      </c>
    </row>
    <row r="30" spans="1:2" x14ac:dyDescent="0.25">
      <c r="A30" t="s">
        <v>72</v>
      </c>
      <c r="B3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property_charges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Anas</dc:creator>
  <cp:lastModifiedBy>Mohammed Anas</cp:lastModifiedBy>
  <dcterms:created xsi:type="dcterms:W3CDTF">2015-06-05T18:17:20Z</dcterms:created>
  <dcterms:modified xsi:type="dcterms:W3CDTF">2025-04-25T07:46:51Z</dcterms:modified>
</cp:coreProperties>
</file>